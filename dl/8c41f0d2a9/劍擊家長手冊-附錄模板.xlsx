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賽事月曆" sheetId="1" state="visible" r:id="rId1"/>
    <sheet xmlns:r="http://schemas.openxmlformats.org/officeDocument/2006/relationships" name="2.年度預算" sheetId="2" state="visible" r:id="rId2"/>
    <sheet xmlns:r="http://schemas.openxmlformats.org/officeDocument/2006/relationships" name="3.裝備追蹤" sheetId="3" state="visible" r:id="rId3"/>
    <sheet xmlns:r="http://schemas.openxmlformats.org/officeDocument/2006/relationships" name="4.劍會比較" sheetId="4" state="visible" r:id="rId4"/>
    <sheet xmlns:r="http://schemas.openxmlformats.org/officeDocument/2006/relationships" name="5.訓練與比賽" sheetId="5" state="visible" r:id="rId5"/>
    <sheet xmlns:r="http://schemas.openxmlformats.org/officeDocument/2006/relationships" name="6.比賽日Checklist" sheetId="6" state="visible" r:id="rId6"/>
    <sheet xmlns:r="http://schemas.openxmlformats.org/officeDocument/2006/relationships" name="7.內地賽事檢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  <font>
      <name val="Microsoft JhengHei"/>
      <b val="1"/>
      <color rgb="001E1B4B"/>
      <sz val="10"/>
    </font>
    <font>
      <name val="Microsoft JhengHei"/>
      <b val="1"/>
      <color rgb="00312E81"/>
      <sz val="11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4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ECACA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26" customWidth="1" min="9" max="9"/>
  </cols>
  <sheetData>
    <row r="1">
      <c r="A1" s="1" t="inlineStr">
        <is>
          <t>賽事名稱</t>
        </is>
      </c>
      <c r="B1" s="1" t="inlineStr">
        <is>
          <t>日期</t>
        </is>
      </c>
      <c r="C1" s="1" t="inlineStr">
        <is>
          <t>地點</t>
        </is>
      </c>
      <c r="D1" s="1" t="inlineStr">
        <is>
          <t>組別</t>
        </is>
      </c>
      <c r="E1" s="1" t="inlineStr">
        <is>
          <t>報名截止</t>
        </is>
      </c>
      <c r="F1" s="1" t="inlineStr">
        <is>
          <t>剩餘日數</t>
        </is>
      </c>
      <c r="G1" s="1" t="inlineStr">
        <is>
          <t>狀態</t>
        </is>
      </c>
      <c r="H1" s="1" t="inlineStr">
        <is>
          <t>費用(HK$)</t>
        </is>
      </c>
      <c r="I1" s="1" t="inlineStr">
        <is>
          <t>備註</t>
        </is>
      </c>
    </row>
    <row r="2">
      <c r="A2" s="2" t="inlineStr">
        <is>
          <t>（例）青少年分齡賽</t>
        </is>
      </c>
      <c r="B2" s="2" t="inlineStr">
        <is>
          <t>2026-11-15</t>
        </is>
      </c>
      <c r="C2" s="2" t="inlineStr">
        <is>
          <t>香港公園體育館</t>
        </is>
      </c>
      <c r="D2" s="2" t="inlineStr">
        <is>
          <t>U10 花劍</t>
        </is>
      </c>
      <c r="E2" s="2" t="inlineStr">
        <is>
          <t>2026-10-25</t>
        </is>
      </c>
      <c r="F2" s="2">
        <f>IF(E2="","",E2-TODAY())</f>
        <v/>
      </c>
      <c r="G2" s="2" t="inlineStr">
        <is>
          <t>已報名</t>
        </is>
      </c>
      <c r="H2" s="2" t="n">
        <v>300</v>
      </c>
      <c r="I2" s="2" t="inlineStr">
        <is>
          <t>記得帶 2 把劍</t>
        </is>
      </c>
    </row>
    <row r="3">
      <c r="A3" s="2" t="inlineStr">
        <is>
          <t>（例）俱樂部聯賽第四站</t>
        </is>
      </c>
      <c r="B3" s="2" t="inlineStr">
        <is>
          <t>2026-10-03</t>
        </is>
      </c>
      <c r="C3" s="2" t="inlineStr">
        <is>
          <t>佛山</t>
        </is>
      </c>
      <c r="D3" s="2" t="inlineStr">
        <is>
          <t>U12</t>
        </is>
      </c>
      <c r="E3" s="2" t="inlineStr">
        <is>
          <t>2026-09-20</t>
        </is>
      </c>
      <c r="F3" s="2">
        <f>IF(E3="","",E3-TODAY())</f>
        <v/>
      </c>
      <c r="G3" s="2" t="inlineStr">
        <is>
          <t>待確認</t>
        </is>
      </c>
      <c r="H3" s="2" t="n">
        <v>400</v>
      </c>
      <c r="I3" s="2" t="inlineStr">
        <is>
          <t>需核實器材檢測要求</t>
        </is>
      </c>
    </row>
    <row r="4">
      <c r="A4" s="2" t="n"/>
      <c r="B4" s="2" t="n"/>
      <c r="C4" s="2" t="n"/>
      <c r="D4" s="2" t="n"/>
      <c r="E4" s="2" t="n"/>
      <c r="F4" s="2">
        <f>IF(E4="","",E4-TODAY())</f>
        <v/>
      </c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>
        <f>IF(E5="","",E5-TODAY())</f>
        <v/>
      </c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>
        <f>IF(E6="","",E6-TODAY())</f>
        <v/>
      </c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>
        <f>IF(E7="","",E7-TODAY())</f>
        <v/>
      </c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>
        <f>IF(E8="","",E8-TODAY())</f>
        <v/>
      </c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>
        <f>IF(E9="","",E9-TODAY())</f>
        <v/>
      </c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>
        <f>IF(E10="","",E10-TODAY())</f>
        <v/>
      </c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>
        <f>IF(E11="","",E11-TODAY())</f>
        <v/>
      </c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>
        <f>IF(E12="","",E12-TODAY())</f>
        <v/>
      </c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>
        <f>IF(E13="","",E13-TODAY())</f>
        <v/>
      </c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>
        <f>IF(E14="","",E14-TODAY())</f>
        <v/>
      </c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>
        <f>IF(E15="","",E15-TODAY())</f>
        <v/>
      </c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>
        <f>IF(E16="","",E16-TODAY())</f>
        <v/>
      </c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>
        <f>IF(E17="","",E17-TODAY())</f>
        <v/>
      </c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>
        <f>IF(E18="","",E18-TODAY())</f>
        <v/>
      </c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>
        <f>IF(E19="","",E19-TODAY())</f>
        <v/>
      </c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>
        <f>IF(E20="","",E20-TODAY())</f>
        <v/>
      </c>
      <c r="G20" s="2" t="n"/>
      <c r="H20" s="2" t="n"/>
      <c r="I20" s="2" t="n"/>
    </row>
  </sheetData>
  <conditionalFormatting sqref="F2:F20">
    <cfRule type="cellIs" priority="1" operator="lessThan" dxfId="0">
      <formula>0</formula>
    </cfRule>
    <cfRule type="cellIs" priority="2" operator="between" dxfId="1">
      <formula>0</formula>
      <formula>7</formula>
    </cfRule>
    <cfRule type="cellIs" priority="3" operator="greaterThan" dxfId="2">
      <formula>7</formula>
    </cfRule>
  </conditionalFormatting>
  <dataValidations count="1">
    <dataValidation sqref="G2:G20" showDropDown="0" showInputMessage="0" showErrorMessage="0" allowBlank="1" type="list">
      <formula1>"未報名,已報名,已繳費,已完成,取消"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2" customWidth="1" min="5" max="5"/>
  </cols>
  <sheetData>
    <row r="1">
      <c r="A1" s="1" t="inlineStr">
        <is>
          <t>項目</t>
        </is>
      </c>
      <c r="B1" s="1" t="inlineStr">
        <is>
          <t>預計(HK$)</t>
        </is>
      </c>
      <c r="C1" s="1" t="inlineStr">
        <is>
          <t>實際(HK$)</t>
        </is>
      </c>
      <c r="D1" s="1" t="inlineStr">
        <is>
          <t>差額</t>
        </is>
      </c>
      <c r="E1" s="1" t="inlineStr">
        <is>
          <t>備註</t>
        </is>
      </c>
    </row>
    <row r="2">
      <c r="A2" s="2" t="inlineStr">
        <is>
          <t>學費（全年）</t>
        </is>
      </c>
      <c r="B2" s="2" t="n"/>
      <c r="C2" s="2" t="n"/>
      <c r="D2" s="2">
        <f>IF(AND(B2="",C2=""),"",B2-C2)</f>
        <v/>
      </c>
      <c r="E2" s="2" t="inlineStr"/>
    </row>
    <row r="3">
      <c r="A3" s="2" t="inlineStr">
        <is>
          <t>一對一課程</t>
        </is>
      </c>
      <c r="B3" s="2" t="n"/>
      <c r="C3" s="2" t="n"/>
      <c r="D3" s="2">
        <f>IF(AND(B3="",C3=""),"",B3-C3)</f>
        <v/>
      </c>
      <c r="E3" s="2" t="inlineStr"/>
    </row>
    <row r="4">
      <c r="A4" s="2" t="inlineStr">
        <is>
          <t>裝備（首次 + 更換）</t>
        </is>
      </c>
      <c r="B4" s="2" t="n"/>
      <c r="C4" s="2" t="n"/>
      <c r="D4" s="2">
        <f>IF(AND(B4="",C4=""),"",B4-C4)</f>
        <v/>
      </c>
      <c r="E4" s="2" t="inlineStr"/>
    </row>
    <row r="5">
      <c r="A5" s="2" t="inlineStr">
        <is>
          <t>比賽報名費</t>
        </is>
      </c>
      <c r="B5" s="2" t="n"/>
      <c r="C5" s="2" t="n"/>
      <c r="D5" s="2">
        <f>IF(AND(B5="",C5=""),"",B5-C5)</f>
        <v/>
      </c>
      <c r="E5" s="2" t="inlineStr"/>
    </row>
    <row r="6">
      <c r="A6" s="2" t="inlineStr">
        <is>
          <t>比賽交通／膳食</t>
        </is>
      </c>
      <c r="B6" s="2" t="n"/>
      <c r="C6" s="2" t="n"/>
      <c r="D6" s="2">
        <f>IF(AND(B6="",C6=""),"",B6-C6)</f>
        <v/>
      </c>
      <c r="E6" s="2" t="inlineStr"/>
    </row>
    <row r="7">
      <c r="A7" s="2" t="inlineStr">
        <is>
          <t>外地／內地賽事</t>
        </is>
      </c>
      <c r="B7" s="2" t="n"/>
      <c r="C7" s="2" t="n"/>
      <c r="D7" s="2">
        <f>IF(AND(B7="",C7=""),"",B7-C7)</f>
        <v/>
      </c>
      <c r="E7" s="2" t="inlineStr"/>
    </row>
    <row r="8">
      <c r="A8" s="2" t="inlineStr">
        <is>
          <t>會籍／註冊／保險</t>
        </is>
      </c>
      <c r="B8" s="2" t="n"/>
      <c r="C8" s="2" t="n"/>
      <c r="D8" s="2">
        <f>IF(AND(B8="",C8=""),"",B8-C8)</f>
        <v/>
      </c>
      <c r="E8" s="2" t="inlineStr"/>
    </row>
    <row r="9">
      <c r="A9" s="2" t="inlineStr">
        <is>
          <t>其他</t>
        </is>
      </c>
      <c r="B9" s="2" t="n"/>
      <c r="C9" s="2" t="n"/>
      <c r="D9" s="2">
        <f>IF(AND(B9="",C9=""),"",B9-C9)</f>
        <v/>
      </c>
      <c r="E9" s="2" t="inlineStr"/>
    </row>
    <row r="10">
      <c r="A10" s="3" t="inlineStr">
        <is>
          <t>總計</t>
        </is>
      </c>
      <c r="B10" s="3">
        <f>SUM(B2:B9)</f>
        <v/>
      </c>
      <c r="C10" s="3">
        <f>SUM(C2:C9)</f>
        <v/>
      </c>
      <c r="D10" s="3">
        <f>B10-C10</f>
        <v/>
      </c>
      <c r="E1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4" customWidth="1" min="4" max="4"/>
    <col width="22" customWidth="1" min="5" max="5"/>
    <col width="26" customWidth="1" min="6" max="6"/>
  </cols>
  <sheetData>
    <row r="1">
      <c r="A1" s="1" t="inlineStr">
        <is>
          <t>裝備</t>
        </is>
      </c>
      <c r="B1" s="1" t="inlineStr">
        <is>
          <t>購買日期</t>
        </is>
      </c>
      <c r="C1" s="1" t="inlineStr">
        <is>
          <t>價格(HK$)</t>
        </is>
      </c>
      <c r="D1" s="1" t="inlineStr">
        <is>
          <t>狀態</t>
        </is>
      </c>
      <c r="E1" s="1" t="inlineStr">
        <is>
          <t>預計更換</t>
        </is>
      </c>
      <c r="F1" s="1" t="inlineStr">
        <is>
          <t>備註</t>
        </is>
      </c>
    </row>
    <row r="2">
      <c r="A2" s="2" t="inlineStr">
        <is>
          <t>面罩</t>
        </is>
      </c>
      <c r="B2" s="2" t="inlineStr">
        <is>
          <t>2026-03-01</t>
        </is>
      </c>
      <c r="C2" s="2" t="n">
        <v>400</v>
      </c>
      <c r="D2" s="2" t="inlineStr">
        <is>
          <t>良好</t>
        </is>
      </c>
      <c r="E2" s="2" t="inlineStr">
        <is>
          <t>3–5 年或撞擊後更換</t>
        </is>
      </c>
      <c r="F2" s="2" t="inlineStr">
        <is>
          <t>撞過就要換</t>
        </is>
      </c>
    </row>
    <row r="3">
      <c r="A3" s="2" t="inlineStr">
        <is>
          <t>電衣（花劍）</t>
        </is>
      </c>
      <c r="B3" s="2" t="inlineStr">
        <is>
          <t>2026-03-01</t>
        </is>
      </c>
      <c r="C3" s="2" t="n">
        <v>450</v>
      </c>
      <c r="D3" s="2" t="inlineStr">
        <is>
          <t>輕微氧化</t>
        </is>
      </c>
      <c r="E3" s="2" t="inlineStr">
        <is>
          <t>觀察感應</t>
        </is>
      </c>
      <c r="F3" s="2" t="inlineStr">
        <is>
          <t>用電衣清潔劑</t>
        </is>
      </c>
    </row>
    <row r="4">
      <c r="A4" s="2" t="inlineStr">
        <is>
          <t>手線</t>
        </is>
      </c>
      <c r="B4" s="2" t="inlineStr">
        <is>
          <t>2026-06-01</t>
        </is>
      </c>
      <c r="C4" s="2" t="n">
        <v>100</v>
      </c>
      <c r="D4" s="2" t="inlineStr">
        <is>
          <t>需更換</t>
        </is>
      </c>
      <c r="E4" s="2" t="inlineStr">
        <is>
          <t>已備 2 條</t>
        </is>
      </c>
      <c r="F4" s="2" t="inlineStr">
        <is>
          <t>消耗品</t>
        </is>
      </c>
    </row>
    <row r="5">
      <c r="A5" s="2" t="inlineStr">
        <is>
          <t>劍（電花劍）</t>
        </is>
      </c>
      <c r="B5" s="2" t="inlineStr">
        <is>
          <t>2026-03-01</t>
        </is>
      </c>
      <c r="C5" s="2" t="n">
        <v>350</v>
      </c>
      <c r="D5" s="2" t="inlineStr">
        <is>
          <t>良好</t>
        </is>
      </c>
      <c r="E5" s="2" t="inlineStr">
        <is>
          <t>1–2 年</t>
        </is>
      </c>
      <c r="F5" s="2" t="inlineStr"/>
    </row>
    <row r="6">
      <c r="A6" s="2" t="inlineStr">
        <is>
          <t>比賽服（上衣＋單袖衣＋褲）</t>
        </is>
      </c>
      <c r="B6" s="2" t="inlineStr">
        <is>
          <t>2026-03-01</t>
        </is>
      </c>
      <c r="C6" s="2" t="n">
        <v>900</v>
      </c>
      <c r="D6" s="2" t="inlineStr">
        <is>
          <t>良好</t>
        </is>
      </c>
      <c r="E6" s="2" t="inlineStr">
        <is>
          <t>每年檢查尺碼</t>
        </is>
      </c>
      <c r="F6" s="2" t="inlineStr">
        <is>
          <t>350N</t>
        </is>
      </c>
    </row>
    <row r="7">
      <c r="A7" s="2" t="inlineStr">
        <is>
          <t>手套</t>
        </is>
      </c>
      <c r="B7" s="2" t="inlineStr">
        <is>
          <t>2026-03-01</t>
        </is>
      </c>
      <c r="C7" s="2" t="n">
        <v>150</v>
      </c>
      <c r="D7" s="2" t="inlineStr">
        <is>
          <t>良好</t>
        </is>
      </c>
      <c r="E7" s="2" t="inlineStr">
        <is>
          <t>1–2 年</t>
        </is>
      </c>
      <c r="F7" s="2" t="inlineStr"/>
    </row>
    <row r="8">
      <c r="A8" s="2" t="inlineStr">
        <is>
          <t>護胸</t>
        </is>
      </c>
      <c r="B8" s="2" t="inlineStr">
        <is>
          <t>2026-03-01</t>
        </is>
      </c>
      <c r="C8" s="2" t="n">
        <v>300</v>
      </c>
      <c r="D8" s="2" t="inlineStr">
        <is>
          <t>良好</t>
        </is>
      </c>
      <c r="E8" s="2" t="inlineStr">
        <is>
          <t>長期</t>
        </is>
      </c>
      <c r="F8" s="2" t="inlineStr">
        <is>
          <t>留意賽事 N 值要求</t>
        </is>
      </c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</sheetData>
  <dataValidations count="1">
    <dataValidation sqref="D2:D25" showDropDown="0" showInputMessage="0" showErrorMessage="0" allowBlank="1" type="list">
      <formula1>"良好,需觀察,需更換,已更換"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24" customWidth="1" min="5" max="5"/>
  </cols>
  <sheetData>
    <row r="1">
      <c r="A1" s="1" t="inlineStr">
        <is>
          <t>評估項目</t>
        </is>
      </c>
      <c r="B1" s="1" t="inlineStr">
        <is>
          <t>劍會 A</t>
        </is>
      </c>
      <c r="C1" s="1" t="inlineStr">
        <is>
          <t>劍會 B</t>
        </is>
      </c>
      <c r="D1" s="1" t="inlineStr">
        <is>
          <t>劍會 C</t>
        </is>
      </c>
      <c r="E1" s="1" t="inlineStr">
        <is>
          <t>備註</t>
        </is>
      </c>
    </row>
    <row r="2">
      <c r="A2" s="2" t="inlineStr">
        <is>
          <t>1. 教練資歷（可否出示證明）</t>
        </is>
      </c>
      <c r="B2" s="2" t="n"/>
      <c r="C2" s="2" t="n"/>
      <c r="D2" s="2" t="n"/>
      <c r="E2" s="2" t="inlineStr"/>
    </row>
    <row r="3">
      <c r="A3" s="2" t="inlineStr">
        <is>
          <t>2. 師生比例</t>
        </is>
      </c>
      <c r="B3" s="2" t="n"/>
      <c r="C3" s="2" t="n"/>
      <c r="D3" s="2" t="n"/>
      <c r="E3" s="2" t="inlineStr"/>
    </row>
    <row r="4">
      <c r="A4" s="2" t="inlineStr">
        <is>
          <t>3. 進度評估機制</t>
        </is>
      </c>
      <c r="B4" s="2" t="n"/>
      <c r="C4" s="2" t="n"/>
      <c r="D4" s="2" t="n"/>
      <c r="E4" s="2" t="inlineStr"/>
    </row>
    <row r="5">
      <c r="A5" s="2" t="inlineStr">
        <is>
          <t>4. 場地保險</t>
        </is>
      </c>
      <c r="B5" s="2" t="n"/>
      <c r="C5" s="2" t="n"/>
      <c r="D5" s="2" t="n"/>
      <c r="E5" s="2" t="inlineStr"/>
    </row>
    <row r="6">
      <c r="A6" s="2" t="inlineStr">
        <is>
          <t>5. 裝備安排（是否提供）</t>
        </is>
      </c>
      <c r="B6" s="2" t="n"/>
      <c r="C6" s="2" t="n"/>
      <c r="D6" s="2" t="n"/>
      <c r="E6" s="2" t="inlineStr"/>
    </row>
    <row r="7">
      <c r="A7" s="2" t="inlineStr">
        <is>
          <t>6. 比賽安排與報名協助</t>
        </is>
      </c>
      <c r="B7" s="2" t="n"/>
      <c r="C7" s="2" t="n"/>
      <c r="D7" s="2" t="n"/>
      <c r="E7" s="2" t="inlineStr"/>
    </row>
    <row r="8">
      <c r="A8" s="2" t="inlineStr">
        <is>
          <t>7. 費用透明度</t>
        </is>
      </c>
      <c r="B8" s="2" t="n"/>
      <c r="C8" s="2" t="n"/>
      <c r="D8" s="2" t="n"/>
      <c r="E8" s="2" t="inlineStr"/>
    </row>
    <row r="9">
      <c r="A9" s="2" t="inlineStr">
        <is>
          <t>8. 補堂政策</t>
        </is>
      </c>
      <c r="B9" s="2" t="n"/>
      <c r="C9" s="2" t="n"/>
      <c r="D9" s="2" t="n"/>
      <c r="E9" s="2" t="inlineStr"/>
    </row>
    <row r="10">
      <c r="A10" s="2" t="inlineStr">
        <is>
          <t>9. 家長可否旁觀</t>
        </is>
      </c>
      <c r="B10" s="2" t="n"/>
      <c r="C10" s="2" t="n"/>
      <c r="D10" s="2" t="n"/>
      <c r="E10" s="2" t="inlineStr"/>
    </row>
    <row r="11">
      <c r="A11" s="2" t="inlineStr">
        <is>
          <t>10. 升班／分組機制</t>
        </is>
      </c>
      <c r="B11" s="2" t="n"/>
      <c r="C11" s="2" t="n"/>
      <c r="D11" s="2" t="n"/>
      <c r="E11" s="2" t="inlineStr"/>
    </row>
    <row r="12">
      <c r="A12" s="2" t="inlineStr">
        <is>
          <t>11. 意外處理安排</t>
        </is>
      </c>
      <c r="B12" s="2" t="n"/>
      <c r="C12" s="2" t="n"/>
      <c r="D12" s="2" t="n"/>
      <c r="E12" s="2" t="inlineStr"/>
    </row>
    <row r="13">
      <c r="A13" s="2" t="inlineStr">
        <is>
          <t>12. 地點與時間配合</t>
        </is>
      </c>
      <c r="B13" s="2" t="n"/>
      <c r="C13" s="2" t="n"/>
      <c r="D13" s="2" t="n"/>
      <c r="E13" s="2" t="inlineStr"/>
    </row>
    <row r="14">
      <c r="A14" s="5" t="inlineStr">
        <is>
          <t>總分（每項 1–5 分）</t>
        </is>
      </c>
      <c r="B14" s="3">
        <f>IF(COUNT(B2:B13)=0,"",SUM(B2:B13))</f>
        <v/>
      </c>
      <c r="C14" s="3">
        <f>IF(COUNT(C2:C13)=0,"",SUM(C2:C13))</f>
        <v/>
      </c>
      <c r="D14" s="3">
        <f>IF(COUNT(D2:D13)=0,"",SUM(D2:D13))</f>
        <v/>
      </c>
      <c r="E14" s="2" t="n"/>
    </row>
  </sheetData>
  <dataValidations count="1">
    <dataValidation sqref="B2:D13" showDropDown="0" showInputMessage="0" showErrorMessage="0" allowBlank="1" errorTitle="分數範圍" error="請輸入 1–5 分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24" customWidth="1" min="4" max="4"/>
    <col width="24" customWidth="1" min="5" max="5"/>
  </cols>
  <sheetData>
    <row r="1">
      <c r="A1" s="6" t="inlineStr">
        <is>
          <t>訓練日誌</t>
        </is>
      </c>
    </row>
    <row r="2">
      <c r="A2" s="1" t="inlineStr">
        <is>
          <t>日期</t>
        </is>
      </c>
      <c r="B2" s="1" t="inlineStr">
        <is>
          <t>訓練內容</t>
        </is>
      </c>
      <c r="C2" s="1" t="inlineStr">
        <is>
          <t>感覺 (1–5)</t>
        </is>
      </c>
      <c r="D2" s="1" t="inlineStr">
        <is>
          <t>備註</t>
        </is>
      </c>
    </row>
    <row r="3">
      <c r="A3" s="2" t="n"/>
      <c r="B3" s="2" t="n"/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7" t="inlineStr">
        <is>
          <t>比賽檢討</t>
        </is>
      </c>
    </row>
    <row r="13">
      <c r="A13" s="1" t="inlineStr">
        <is>
          <t>日期</t>
        </is>
      </c>
      <c r="B13" s="1" t="inlineStr">
        <is>
          <t>賽事</t>
        </is>
      </c>
      <c r="C13" s="1" t="inlineStr">
        <is>
          <t>組別／結果</t>
        </is>
      </c>
      <c r="D13" s="1" t="inlineStr">
        <is>
          <t>強項</t>
        </is>
      </c>
      <c r="E13" s="1" t="inlineStr">
        <is>
          <t>待改善</t>
        </is>
      </c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</sheetData>
  <mergeCells count="2">
    <mergeCell ref="A1:D1"/>
    <mergeCell ref="A12:E12"/>
  </mergeCells>
  <dataValidations count="1">
    <dataValidation sqref="C3:C1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" customWidth="1" min="3" max="3"/>
    <col width="28" customWidth="1" min="4" max="4"/>
  </cols>
  <sheetData>
    <row r="1">
      <c r="A1" s="1" t="inlineStr">
        <is>
          <t>類別</t>
        </is>
      </c>
      <c r="B1" s="1" t="inlineStr">
        <is>
          <t>項目</t>
        </is>
      </c>
      <c r="C1" s="1" t="inlineStr">
        <is>
          <t>完成</t>
        </is>
      </c>
      <c r="D1" s="1" t="inlineStr">
        <is>
          <t>備註</t>
        </is>
      </c>
    </row>
    <row r="2">
      <c r="A2" s="2" t="inlineStr">
        <is>
          <t>出發前</t>
        </is>
      </c>
      <c r="B2" s="2" t="inlineStr">
        <is>
          <t>面罩</t>
        </is>
      </c>
      <c r="C2" s="2" t="inlineStr">
        <is>
          <t>☐</t>
        </is>
      </c>
      <c r="D2" s="2" t="inlineStr"/>
    </row>
    <row r="3">
      <c r="A3" s="2" t="inlineStr">
        <is>
          <t>出發前</t>
        </is>
      </c>
      <c r="B3" s="2" t="inlineStr">
        <is>
          <t>手套</t>
        </is>
      </c>
      <c r="C3" s="2" t="inlineStr">
        <is>
          <t>☐</t>
        </is>
      </c>
      <c r="D3" s="2" t="inlineStr"/>
    </row>
    <row r="4">
      <c r="A4" s="2" t="inlineStr">
        <is>
          <t>出發前</t>
        </is>
      </c>
      <c r="B4" s="2" t="inlineStr">
        <is>
          <t>護胸</t>
        </is>
      </c>
      <c r="C4" s="2" t="inlineStr">
        <is>
          <t>☐</t>
        </is>
      </c>
      <c r="D4" s="2" t="inlineStr"/>
    </row>
    <row r="5">
      <c r="A5" s="2" t="inlineStr">
        <is>
          <t>出發前</t>
        </is>
      </c>
      <c r="B5" s="2" t="inlineStr">
        <is>
          <t>劍 × 2</t>
        </is>
      </c>
      <c r="C5" s="2" t="inlineStr">
        <is>
          <t>☐</t>
        </is>
      </c>
      <c r="D5" s="2" t="inlineStr"/>
    </row>
    <row r="6">
      <c r="A6" s="2" t="inlineStr">
        <is>
          <t>出發前</t>
        </is>
      </c>
      <c r="B6" s="2" t="inlineStr">
        <is>
          <t>手線 × 2</t>
        </is>
      </c>
      <c r="C6" s="2" t="inlineStr">
        <is>
          <t>☐</t>
        </is>
      </c>
      <c r="D6" s="2" t="inlineStr"/>
    </row>
    <row r="7">
      <c r="A7" s="2" t="inlineStr">
        <is>
          <t>出發前</t>
        </is>
      </c>
      <c r="B7" s="2" t="inlineStr">
        <is>
          <t>頭線 × 1</t>
        </is>
      </c>
      <c r="C7" s="2" t="inlineStr">
        <is>
          <t>☐</t>
        </is>
      </c>
      <c r="D7" s="2" t="inlineStr"/>
    </row>
    <row r="8">
      <c r="A8" s="2" t="inlineStr">
        <is>
          <t>出發前</t>
        </is>
      </c>
      <c r="B8" s="2" t="inlineStr">
        <is>
          <t>比賽服（上衣／單袖衣／褲）</t>
        </is>
      </c>
      <c r="C8" s="2" t="inlineStr">
        <is>
          <t>☐</t>
        </is>
      </c>
      <c r="D8" s="2" t="inlineStr"/>
    </row>
    <row r="9">
      <c r="A9" s="2" t="inlineStr">
        <is>
          <t>出發前</t>
        </is>
      </c>
      <c r="B9" s="2" t="inlineStr">
        <is>
          <t>電衣</t>
        </is>
      </c>
      <c r="C9" s="2" t="inlineStr">
        <is>
          <t>☐</t>
        </is>
      </c>
      <c r="D9" s="2" t="inlineStr"/>
    </row>
    <row r="10">
      <c r="A10" s="2" t="inlineStr">
        <is>
          <t>出發前</t>
        </is>
      </c>
      <c r="B10" s="2" t="inlineStr">
        <is>
          <t>運動鞋／襪（備用）</t>
        </is>
      </c>
      <c r="C10" s="2" t="inlineStr">
        <is>
          <t>☐</t>
        </is>
      </c>
      <c r="D10" s="2" t="inlineStr"/>
    </row>
    <row r="11">
      <c r="A11" s="2" t="inlineStr">
        <is>
          <t>出發前</t>
        </is>
      </c>
      <c r="B11" s="2" t="inlineStr">
        <is>
          <t>身份證／報名確認</t>
        </is>
      </c>
      <c r="C11" s="2" t="inlineStr">
        <is>
          <t>☐</t>
        </is>
      </c>
      <c r="D11" s="2" t="inlineStr"/>
    </row>
    <row r="12">
      <c r="A12" s="2" t="inlineStr">
        <is>
          <t>出發前</t>
        </is>
      </c>
      <c r="B12" s="2" t="inlineStr">
        <is>
          <t>水、小食、毛巾</t>
        </is>
      </c>
      <c r="C12" s="2" t="inlineStr">
        <is>
          <t>☐</t>
        </is>
      </c>
      <c r="D12" s="2" t="inlineStr"/>
    </row>
    <row r="13">
      <c r="A13" s="2" t="inlineStr">
        <is>
          <t>出發前</t>
        </is>
      </c>
      <c r="B13" s="2" t="inlineStr">
        <is>
          <t>替換衣物</t>
        </is>
      </c>
      <c r="C13" s="2" t="inlineStr">
        <is>
          <t>☐</t>
        </is>
      </c>
      <c r="D13" s="2" t="inlineStr"/>
    </row>
    <row r="14">
      <c r="A14" s="2" t="inlineStr">
        <is>
          <t>出發前</t>
        </is>
      </c>
      <c r="B14" s="2" t="inlineStr">
        <is>
          <t>電線膠紙／小工具</t>
        </is>
      </c>
      <c r="C14" s="2" t="inlineStr">
        <is>
          <t>☐</t>
        </is>
      </c>
      <c r="D14" s="2" t="inlineStr"/>
    </row>
    <row r="15">
      <c r="A15" s="2" t="inlineStr">
        <is>
          <t>到場後</t>
        </is>
      </c>
      <c r="B15" s="2" t="inlineStr">
        <is>
          <t>報到、確認名字與組別</t>
        </is>
      </c>
      <c r="C15" s="2" t="inlineStr">
        <is>
          <t>☐</t>
        </is>
      </c>
      <c r="D15" s="2" t="inlineStr"/>
    </row>
    <row r="16">
      <c r="A16" s="2" t="inlineStr">
        <is>
          <t>到場後</t>
        </is>
      </c>
      <c r="B16" s="2" t="inlineStr">
        <is>
          <t>器材檢測</t>
        </is>
      </c>
      <c r="C16" s="2" t="inlineStr">
        <is>
          <t>☐</t>
        </is>
      </c>
      <c r="D16" s="2" t="inlineStr"/>
    </row>
    <row r="17">
      <c r="A17" s="2" t="inlineStr">
        <is>
          <t>到場後</t>
        </is>
      </c>
      <c r="B17" s="2" t="inlineStr">
        <is>
          <t>熱身 15 分鐘</t>
        </is>
      </c>
      <c r="C17" s="2" t="inlineStr">
        <is>
          <t>☐</t>
        </is>
      </c>
      <c r="D17" s="2" t="inlineStr"/>
    </row>
    <row r="18">
      <c r="A18" s="2" t="inlineStr">
        <is>
          <t>到場後</t>
        </is>
      </c>
      <c r="B18" s="2" t="inlineStr">
        <is>
          <t>確認賽道位置</t>
        </is>
      </c>
      <c r="C18" s="2" t="inlineStr">
        <is>
          <t>☐</t>
        </is>
      </c>
      <c r="D18" s="2" t="inlineStr"/>
    </row>
    <row r="19">
      <c r="A19" s="2" t="inlineStr">
        <is>
          <t>比賽中</t>
        </is>
      </c>
      <c r="B19" s="2" t="inlineStr">
        <is>
          <t>只講支持，唔講技術指令</t>
        </is>
      </c>
      <c r="C19" s="2" t="inlineStr">
        <is>
          <t>☐</t>
        </is>
      </c>
      <c r="D19" s="2" t="inlineStr"/>
    </row>
    <row r="20">
      <c r="A20" s="2" t="inlineStr">
        <is>
          <t>比賽中</t>
        </is>
      </c>
      <c r="B20" s="2" t="inlineStr">
        <is>
          <t>賽後先講努力，唔講輸贏</t>
        </is>
      </c>
      <c r="C20" s="2" t="inlineStr">
        <is>
          <t>☐</t>
        </is>
      </c>
      <c r="D20" s="2" t="inlineStr"/>
    </row>
  </sheetData>
  <dataValidations count="1">
    <dataValidation sqref="C2:C20" showDropDown="0" showInputMessage="0" showErrorMessage="0" allowBlank="1" type="list">
      <formula1>"☐,✔"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26" customWidth="1" min="4" max="4"/>
  </cols>
  <sheetData>
    <row r="1">
      <c r="A1" s="1" t="inlineStr">
        <is>
          <t>階段</t>
        </is>
      </c>
      <c r="B1" s="1" t="inlineStr">
        <is>
          <t>項目</t>
        </is>
      </c>
      <c r="C1" s="1" t="inlineStr">
        <is>
          <t>完成</t>
        </is>
      </c>
      <c r="D1" s="1" t="inlineStr">
        <is>
          <t>備註</t>
        </is>
      </c>
    </row>
    <row r="2">
      <c r="A2" s="2" t="inlineStr">
        <is>
          <t>4 週前</t>
        </is>
      </c>
      <c r="B2" s="2" t="inlineStr">
        <is>
          <t>確認賽事規程、組別、年齡要求</t>
        </is>
      </c>
      <c r="C2" s="2" t="inlineStr">
        <is>
          <t>☐</t>
        </is>
      </c>
      <c r="D2" s="2" t="inlineStr"/>
    </row>
    <row r="3">
      <c r="A3" s="2" t="inlineStr">
        <is>
          <t>4 週前</t>
        </is>
      </c>
      <c r="B3" s="2" t="inlineStr">
        <is>
          <t>確認中國劍擊協會註冊狀態</t>
        </is>
      </c>
      <c r="C3" s="2" t="inlineStr">
        <is>
          <t>☐</t>
        </is>
      </c>
      <c r="D3" s="2" t="inlineStr"/>
    </row>
    <row r="4">
      <c r="A4" s="2" t="inlineStr">
        <is>
          <t>4 週前</t>
        </is>
      </c>
      <c r="B4" s="2" t="inlineStr">
        <is>
          <t>與劍會／教練確認報名途徑</t>
        </is>
      </c>
      <c r="C4" s="2" t="inlineStr">
        <is>
          <t>☐</t>
        </is>
      </c>
      <c r="D4" s="2" t="inlineStr"/>
    </row>
    <row r="5">
      <c r="A5" s="2" t="inlineStr">
        <is>
          <t>3 週前</t>
        </is>
      </c>
      <c r="B5" s="2" t="inlineStr">
        <is>
          <t>報名資料（身份證明、聲明書、相片）</t>
        </is>
      </c>
      <c r="C5" s="2" t="inlineStr">
        <is>
          <t>☐</t>
        </is>
      </c>
      <c r="D5" s="2" t="inlineStr"/>
    </row>
    <row r="6">
      <c r="A6" s="2" t="inlineStr">
        <is>
          <t>3 週前</t>
        </is>
      </c>
      <c r="B6" s="2" t="inlineStr">
        <is>
          <t>監護人同意書</t>
        </is>
      </c>
      <c r="C6" s="2" t="inlineStr">
        <is>
          <t>☐</t>
        </is>
      </c>
      <c r="D6" s="2" t="inlineStr"/>
    </row>
    <row r="7">
      <c r="A7" s="2" t="inlineStr">
        <is>
          <t>3 週前</t>
        </is>
      </c>
      <c r="B7" s="2" t="inlineStr">
        <is>
          <t>交通住宿預算</t>
        </is>
      </c>
      <c r="C7" s="2" t="inlineStr">
        <is>
          <t>☐</t>
        </is>
      </c>
      <c r="D7" s="2" t="inlineStr"/>
    </row>
    <row r="8">
      <c r="A8" s="2" t="inlineStr">
        <is>
          <t>2 週前</t>
        </is>
      </c>
      <c r="B8" s="2" t="inlineStr">
        <is>
          <t>完成報名與繳費</t>
        </is>
      </c>
      <c r="C8" s="2" t="inlineStr">
        <is>
          <t>☐</t>
        </is>
      </c>
      <c r="D8" s="2" t="inlineStr"/>
    </row>
    <row r="9">
      <c r="A9" s="2" t="inlineStr">
        <is>
          <t>2 週前</t>
        </is>
      </c>
      <c r="B9" s="2" t="inlineStr">
        <is>
          <t>器材符合檢測標準（N 值、面罩）</t>
        </is>
      </c>
      <c r="C9" s="2" t="inlineStr">
        <is>
          <t>☐</t>
        </is>
      </c>
      <c r="D9" s="2" t="inlineStr"/>
    </row>
    <row r="10">
      <c r="A10" s="2" t="inlineStr">
        <is>
          <t>2 週前</t>
        </is>
      </c>
      <c r="B10" s="2" t="inlineStr">
        <is>
          <t>備件（劍條、手線、頭線）</t>
        </is>
      </c>
      <c r="C10" s="2" t="inlineStr">
        <is>
          <t>☐</t>
        </is>
      </c>
      <c r="D10" s="2" t="inlineStr"/>
    </row>
    <row r="11">
      <c r="A11" s="2" t="inlineStr">
        <is>
          <t>1 週前</t>
        </is>
      </c>
      <c r="B11" s="2" t="inlineStr">
        <is>
          <t>賽程與場地路線</t>
        </is>
      </c>
      <c r="C11" s="2" t="inlineStr">
        <is>
          <t>☐</t>
        </is>
      </c>
      <c r="D11" s="2" t="inlineStr"/>
    </row>
    <row r="12">
      <c r="A12" s="2" t="inlineStr">
        <is>
          <t>1 週前</t>
        </is>
      </c>
      <c r="B12" s="2" t="inlineStr">
        <is>
          <t>回鄉證、電子支付設定</t>
        </is>
      </c>
      <c r="C12" s="2" t="inlineStr">
        <is>
          <t>☐</t>
        </is>
      </c>
      <c r="D12" s="2" t="inlineStr"/>
    </row>
    <row r="13">
      <c r="A13" s="2" t="inlineStr">
        <is>
          <t>1 週前</t>
        </is>
      </c>
      <c r="B13" s="2" t="inlineStr">
        <is>
          <t>減量訓練、充足休息</t>
        </is>
      </c>
      <c r="C13" s="2" t="inlineStr">
        <is>
          <t>☐</t>
        </is>
      </c>
      <c r="D13" s="2" t="inlineStr"/>
    </row>
    <row r="14">
      <c r="A14" s="2" t="inlineStr">
        <is>
          <t>比賽日</t>
        </is>
      </c>
      <c r="B14" s="2" t="inlineStr">
        <is>
          <t>提前 60 分鐘到場</t>
        </is>
      </c>
      <c r="C14" s="2" t="inlineStr">
        <is>
          <t>☐</t>
        </is>
      </c>
      <c r="D14" s="2" t="inlineStr"/>
    </row>
    <row r="15">
      <c r="A15" s="2" t="inlineStr">
        <is>
          <t>比賽日</t>
        </is>
      </c>
      <c r="B15" s="2" t="inlineStr">
        <is>
          <t>器材檢測</t>
        </is>
      </c>
      <c r="C15" s="2" t="inlineStr">
        <is>
          <t>☐</t>
        </is>
      </c>
      <c r="D15" s="2" t="inlineStr"/>
    </row>
    <row r="16">
      <c r="A16" s="2" t="inlineStr">
        <is>
          <t>比賽日</t>
        </is>
      </c>
      <c r="B16" s="2" t="inlineStr">
        <is>
          <t>確認分組與賽道</t>
        </is>
      </c>
      <c r="C16" s="2" t="inlineStr">
        <is>
          <t>☐</t>
        </is>
      </c>
      <c r="D16" s="2" t="inlineStr"/>
    </row>
  </sheetData>
  <dataValidations count="1">
    <dataValidation sqref="C2:C16" showDropDown="0" showInputMessage="0" showErrorMessage="0" allowBlank="1" type="list">
      <formula1>"☐,✔"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2026-09-30T08:57:26Z</dcterms:created>
  <dcterms:modified xmlns:dcterms="http://purl.org/dc/terms/" xmlns:xsi="http://www.w3.org/2001/XMLSchema-instance" xsi:type="dcterms:W3CDTF">2026-09-30T08:57:26Z</dcterms:modified>
</cp:coreProperties>
</file>